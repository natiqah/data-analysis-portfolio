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ZBOOK FIREFLY\Documents\For Portfolio\SQL_Projects\week10_sql_excel\"/>
    </mc:Choice>
  </mc:AlternateContent>
  <xr:revisionPtr revIDLastSave="0" documentId="13_ncr:1_{C13D23FF-5FC8-4C84-AC59-5D3A7AEDAF48}" xr6:coauthVersionLast="47" xr6:coauthVersionMax="47" xr10:uidLastSave="{00000000-0000-0000-0000-000000000000}"/>
  <bookViews>
    <workbookView xWindow="-110" yWindow="-110" windowWidth="19420" windowHeight="10300" xr2:uid="{557A9D44-458C-4DAA-BE98-4347D7114BB8}"/>
  </bookViews>
  <sheets>
    <sheet name="Dashboard" sheetId="25" r:id="rId1"/>
    <sheet name="1_monthly_sales" sheetId="9" r:id="rId2"/>
    <sheet name="2_discount_profit" sheetId="10" r:id="rId3"/>
    <sheet name="3_regional_sales" sheetId="20" r:id="rId4"/>
    <sheet name="4_top_products" sheetId="22" r:id="rId5"/>
    <sheet name="5_profit_margin" sheetId="13" r:id="rId6"/>
    <sheet name="6_avg_order_value" sheetId="14" r:id="rId7"/>
    <sheet name="7_shipping_efficiency" sheetId="15" r:id="rId8"/>
  </sheets>
  <definedNames>
    <definedName name="ExternalData_1" localSheetId="1" hidden="1">'1_monthly_sales'!$A$1:$B$49</definedName>
    <definedName name="ExternalData_1" localSheetId="3" hidden="1">'3_regional_sales'!$A$1:$B$5</definedName>
    <definedName name="ExternalData_1" localSheetId="5" hidden="1">'5_profit_margin'!$A$1:$D$4</definedName>
    <definedName name="ExternalData_1" localSheetId="6" hidden="1">'6_avg_order_value'!$A$1:$D$4</definedName>
    <definedName name="ExternalData_1" localSheetId="7" hidden="1">'7_shipping_efficiency'!$A$1:$E$5</definedName>
    <definedName name="ExternalData_2" localSheetId="2" hidden="1">'2_discount_profit'!$A$1:$B$12</definedName>
    <definedName name="ExternalData_2" localSheetId="4" hidden="1">'4_top_products'!$A$1:$B$11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97F693-08D8-4AA8-A3BA-F9299C7D69EA}" keepAlive="1" name="Query - 1_monthly_sales" description="Connection to the '1_monthly_sales' query in the workbook." type="5" refreshedVersion="8" background="1" saveData="1">
    <dbPr connection="Provider=Microsoft.Mashup.OleDb.1;Data Source=$Workbook$;Location=1_monthly_sales;Extended Properties=&quot;&quot;" command="SELECT * FROM [1_monthly_sales]"/>
  </connection>
  <connection id="2" xr16:uid="{958790E6-B7AB-4E6D-BEB1-997A3C1FE7E3}" keepAlive="1" name="Query - 2_discount_profit" description="Connection to the '2_discount_profit' query in the workbook." type="5" refreshedVersion="8" background="1" saveData="1">
    <dbPr connection="Provider=Microsoft.Mashup.OleDb.1;Data Source=$Workbook$;Location=2_discount_profit;Extended Properties=&quot;&quot;" command="SELECT * FROM [2_discount_profit]"/>
  </connection>
  <connection id="3" xr16:uid="{85761F02-24F9-4F60-BE62-017C6835378B}" keepAlive="1" name="Query - 3_regional_sales (2)" description="Connection to the '3_regional_sales (2)' query in the workbook." type="5" refreshedVersion="8" background="1" saveData="1">
    <dbPr connection="Provider=Microsoft.Mashup.OleDb.1;Data Source=$Workbook$;Location=&quot;3_regional_sales (2)&quot;;Extended Properties=&quot;&quot;" command="SELECT * FROM [3_regional_sales (2)]"/>
  </connection>
  <connection id="4" xr16:uid="{A3FF52F8-F631-48D6-B1FC-E3F2BB041C65}" keepAlive="1" name="Query - 4_top_products (2)" description="Connection to the '4_top_products (2)' query in the workbook." type="5" refreshedVersion="8" background="1" saveData="1">
    <dbPr connection="Provider=Microsoft.Mashup.OleDb.1;Data Source=$Workbook$;Location=&quot;4_top_products (2)&quot;;Extended Properties=&quot;&quot;" command="SELECT * FROM [4_top_products (2)]"/>
  </connection>
  <connection id="5" xr16:uid="{E753AEE9-EB19-429F-A4BD-314EA900AEB5}" keepAlive="1" name="Query - 5_profit_margin" description="Connection to the '5_profit_margin' query in the workbook." type="5" refreshedVersion="8" background="1" saveData="1">
    <dbPr connection="Provider=Microsoft.Mashup.OleDb.1;Data Source=$Workbook$;Location=5_profit_margin;Extended Properties=&quot;&quot;" command="SELECT * FROM [5_profit_margin]"/>
  </connection>
  <connection id="6" xr16:uid="{A5A2239F-6689-4A26-A469-A1E7ECE60DC4}" keepAlive="1" name="Query - 6_avg_order_value" description="Connection to the '6_avg_order_value' query in the workbook." type="5" refreshedVersion="8" background="1" saveData="1">
    <dbPr connection="Provider=Microsoft.Mashup.OleDb.1;Data Source=$Workbook$;Location=6_avg_order_value;Extended Properties=&quot;&quot;" command="SELECT * FROM [6_avg_order_value]"/>
  </connection>
  <connection id="7" xr16:uid="{8EA8319A-B554-4169-B414-4B2C665CD616}" keepAlive="1" name="Query - 7_shipping_efficiency" description="Connection to the '7_shipping_efficiency' query in the workbook." type="5" refreshedVersion="8" background="1" saveData="1">
    <dbPr connection="Provider=Microsoft.Mashup.OleDb.1;Data Source=$Workbook$;Location=7_shipping_efficiency;Extended Properties=&quot;&quot;" command="SELECT * FROM [7_shipping_efficiency]"/>
  </connection>
  <connection id="8" xr16:uid="{1166E2BA-B888-4A11-BE8B-0BE4D5BC3E5B}" keepAlive="1" name="Query - regional_sales" description="Connection to the 'regional_sales' query in the workbook." type="5" refreshedVersion="8" background="1" saveData="1">
    <dbPr connection="Provider=Microsoft.Mashup.OleDb.1;Data Source=$Workbook$;Location=regional_sales;Extended Properties=&quot;&quot;" command="SELECT * FROM [regional_sales]"/>
  </connection>
</connections>
</file>

<file path=xl/sharedStrings.xml><?xml version="1.0" encoding="utf-8"?>
<sst xmlns="http://schemas.openxmlformats.org/spreadsheetml/2006/main" count="45" uniqueCount="39">
  <si>
    <t>year_month</t>
  </si>
  <si>
    <t>total_sales</t>
  </si>
  <si>
    <t>discount_bucket</t>
  </si>
  <si>
    <t>total_profit</t>
  </si>
  <si>
    <t>region</t>
  </si>
  <si>
    <t>Central</t>
  </si>
  <si>
    <t>East</t>
  </si>
  <si>
    <t>South</t>
  </si>
  <si>
    <t>West</t>
  </si>
  <si>
    <t>product_name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</si>
  <si>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</si>
  <si>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</si>
  <si>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</si>
  <si>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</si>
  <si>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</si>
  <si>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</si>
  <si>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</si>
  <si>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</si>
  <si>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</si>
  <si>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</si>
  <si>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category</t>
  </si>
  <si>
    <t>profit_margin_percent</t>
  </si>
  <si>
    <t>Technology</t>
  </si>
  <si>
    <t>Office Supplies</t>
  </si>
  <si>
    <t>Furniture</t>
  </si>
  <si>
    <t>segment</t>
  </si>
  <si>
    <t>total_orders</t>
  </si>
  <si>
    <t>avg_order_value</t>
  </si>
  <si>
    <t>Home Office</t>
  </si>
  <si>
    <t>Corporate</t>
  </si>
  <si>
    <t>Consumer</t>
  </si>
  <si>
    <t>ship_mode</t>
  </si>
  <si>
    <t>avg_shipping_days</t>
  </si>
  <si>
    <t>min_shipping_days</t>
  </si>
  <si>
    <t>max_shipping_days</t>
  </si>
  <si>
    <t>Same Day</t>
  </si>
  <si>
    <t>First Class</t>
  </si>
  <si>
    <t>Second Class</t>
  </si>
  <si>
    <t>Standard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</si>
</sst>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yyyy\-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'1_monthly_sales'!$B$1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'1_monthly_sales'!$A$2:$A$49</c:f>
              <c:numCache>
                <c:formatCode>yyyy\-mm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cat>
          <c:val>
            <c:numRef>
              <c:f>'1_monthly_sales'!$B$2:$B$49</c:f>
              <c:numCache>
                <c:formatCode>0.00</c:formatCode>
                <c:ptCount val="48"/>
                <c:pt idx="0">
                  <c:v>14236.895</c:v>
                </c:pt>
                <c:pt idx="1">
                  <c:v>4519.8919999999998</c:v>
                </c:pt>
                <c:pt idx="2">
                  <c:v>55691.008999999998</c:v>
                </c:pt>
                <c:pt idx="3">
                  <c:v>28295.345000000001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33946.392999999996</c:v>
                </c:pt>
                <c:pt idx="7">
                  <c:v>27909.468499999999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78628.716700000004</c:v>
                </c:pt>
                <c:pt idx="11">
                  <c:v>69545.620500000005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34195.208500000001</c:v>
                </c:pt>
                <c:pt idx="16">
                  <c:v>30131.6865</c:v>
                </c:pt>
                <c:pt idx="17">
                  <c:v>24797.292000000001</c:v>
                </c:pt>
                <c:pt idx="18">
                  <c:v>28765.325000000001</c:v>
                </c:pt>
                <c:pt idx="19">
                  <c:v>36898.332199999997</c:v>
                </c:pt>
                <c:pt idx="20">
                  <c:v>64595.917999999998</c:v>
                </c:pt>
                <c:pt idx="21">
                  <c:v>31404.923500000001</c:v>
                </c:pt>
                <c:pt idx="22">
                  <c:v>75972.563500000004</c:v>
                </c:pt>
                <c:pt idx="23">
                  <c:v>74919.521200000003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51715.875</c:v>
                </c:pt>
                <c:pt idx="27">
                  <c:v>38750.038999999997</c:v>
                </c:pt>
                <c:pt idx="28">
                  <c:v>56987.728000000003</c:v>
                </c:pt>
                <c:pt idx="29">
                  <c:v>40344.534</c:v>
                </c:pt>
                <c:pt idx="30">
                  <c:v>39261.963000000003</c:v>
                </c:pt>
                <c:pt idx="31">
                  <c:v>31115.374299999999</c:v>
                </c:pt>
                <c:pt idx="32">
                  <c:v>73410.024900000004</c:v>
                </c:pt>
                <c:pt idx="33">
                  <c:v>59687.745000000003</c:v>
                </c:pt>
                <c:pt idx="34">
                  <c:v>79411.965800000005</c:v>
                </c:pt>
                <c:pt idx="35">
                  <c:v>96999.043000000005</c:v>
                </c:pt>
                <c:pt idx="36">
                  <c:v>43971.374000000003</c:v>
                </c:pt>
                <c:pt idx="37">
                  <c:v>20301.133399999999</c:v>
                </c:pt>
                <c:pt idx="38">
                  <c:v>58872.352800000001</c:v>
                </c:pt>
                <c:pt idx="39">
                  <c:v>36521.536099999998</c:v>
                </c:pt>
                <c:pt idx="40">
                  <c:v>44261.110200000003</c:v>
                </c:pt>
                <c:pt idx="41">
                  <c:v>52981.725700000003</c:v>
                </c:pt>
                <c:pt idx="42">
                  <c:v>45264.415999999997</c:v>
                </c:pt>
                <c:pt idx="43">
                  <c:v>63120.887999999999</c:v>
                </c:pt>
                <c:pt idx="44">
                  <c:v>87866.652000000002</c:v>
                </c:pt>
                <c:pt idx="45">
                  <c:v>77776.923200000005</c:v>
                </c:pt>
                <c:pt idx="46">
                  <c:v>118447.825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B1-48F8-8E7D-7D6616B98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911087"/>
        <c:axId val="360910607"/>
      </c:lineChart>
      <c:dateAx>
        <c:axId val="36091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Year-Month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\-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10607"/>
        <c:crosses val="autoZero"/>
        <c:auto val="1"/>
        <c:lblOffset val="100"/>
        <c:baseTimeUnit val="months"/>
      </c:dateAx>
      <c:valAx>
        <c:axId val="360910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Total Sales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11087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'3_regional_sales'!$B$1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4.1458447944065102E-17"/>
                  <c:y val="1.2599305555555556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14-40BA-9FEA-A3C9B374F742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'3_regional_sales'!$A$2:$A$5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'3_regional_sales'!$B$2:$B$5</c:f>
              <c:numCache>
                <c:formatCode>0.00</c:formatCode>
                <c:ptCount val="4"/>
                <c:pt idx="0">
                  <c:v>725457.82449999999</c:v>
                </c:pt>
                <c:pt idx="1">
                  <c:v>678781.24</c:v>
                </c:pt>
                <c:pt idx="2">
                  <c:v>501239.89079999999</c:v>
                </c:pt>
                <c:pt idx="3">
                  <c:v>391721.90500000003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4-40BA-9FEA-A3C9B374F7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60866927"/>
        <c:axId val="360866447"/>
      </c:barChart>
      <c:catAx>
        <c:axId val="36086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66447"/>
        <c:crosses val="autoZero"/>
        <c:auto val="1"/>
        <c:lblAlgn val="ctr"/>
        <c:lblOffset val="100"/>
        <c:noMultiLvlLbl val="0"/>
      </c:catAx>
      <c:valAx>
        <c:axId val="360866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Total Sales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66927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Discount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'2_discount_profit'!$B$1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rgbClr val="275317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dLbl>
              <c:idx val="0"/>
              <c:layout>
                <c:manualLayout>
                  <c:x val="-4.1458447944065102E-17"/>
                  <c:y val="0.28222222222222221"/>
                </c:manualLayout>
              </c:layout>
              <c:tx>
                <c:rich>
                  <a:bodyPr/>
                  <a:lstStyle/>
                  <a:p>
                    <a:fld id="{B87BDC1C-9A3F-4F99-9373-9045EEECD196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MY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9ED-4359-AA7B-851A0B609C8A}"/>
                </c:ext>
              </c:extLst>
            </c:dLbl>
            <c:dLbl>
              <c:idx val="4"/>
              <c:layout>
                <c:manualLayout>
                  <c:x val="0"/>
                  <c:y val="0.3093589743589744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ED-4359-AA7B-851A0B609C8A}"/>
                </c:ext>
              </c:extLst>
            </c:dLbl>
            <c:dLbl>
              <c:idx val="5"/>
              <c:layout>
                <c:manualLayout>
                  <c:x val="-2.2613960113960115E-3"/>
                  <c:y val="0.314786752136752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ED-4359-AA7B-851A0B609C8A}"/>
                </c:ext>
              </c:extLst>
            </c:dLbl>
            <c:dLbl>
              <c:idx val="6"/>
              <c:layout>
                <c:manualLayout>
                  <c:x val="-8.2916895888130204E-17"/>
                  <c:y val="0.314786324786324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ED-4359-AA7B-851A0B609C8A}"/>
                </c:ext>
              </c:extLst>
            </c:dLbl>
            <c:dLbl>
              <c:idx val="7"/>
              <c:layout>
                <c:manualLayout>
                  <c:x val="-8.2916895888130204E-17"/>
                  <c:y val="0.3202136752136752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9ED-4359-AA7B-851A0B609C8A}"/>
                </c:ext>
              </c:extLst>
            </c:dLbl>
            <c:dLbl>
              <c:idx val="8"/>
              <c:layout>
                <c:manualLayout>
                  <c:x val="-1.6583379177626041E-16"/>
                  <c:y val="0.3202136752136752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ED-4359-AA7B-851A0B609C8A}"/>
                </c:ext>
              </c:extLst>
            </c:dLbl>
            <c:dLbl>
              <c:idx val="9"/>
              <c:layout>
                <c:manualLayout>
                  <c:x val="-1.6583379177626041E-16"/>
                  <c:y val="0.320214102564102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9ED-4359-AA7B-851A0B609C8A}"/>
                </c:ext>
              </c:extLst>
            </c:dLbl>
            <c:dLbl>
              <c:idx val="10"/>
              <c:layout>
                <c:manualLayout>
                  <c:x val="0"/>
                  <c:y val="0.3364957264957265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9ED-4359-AA7B-851A0B609C8A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overflow" horzOverflow="overflow" vert="horz" wrap="non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'2_discount_profit'!$A$2:$A$12</c:f>
              <c:numCache>
                <c:formatCode>0.00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0.45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</c:numCache>
            </c:numRef>
          </c:cat>
          <c:val>
            <c:numRef>
              <c:f>'2_discount_profit'!$B$2:$B$12</c:f>
              <c:numCache>
                <c:formatCode>0.00</c:formatCode>
                <c:ptCount val="11"/>
                <c:pt idx="0">
                  <c:v>320987.60320000001</c:v>
                </c:pt>
                <c:pt idx="1">
                  <c:v>9029.1769999999997</c:v>
                </c:pt>
                <c:pt idx="2">
                  <c:v>1418.9915000000001</c:v>
                </c:pt>
                <c:pt idx="3">
                  <c:v>90337.305999999997</c:v>
                </c:pt>
                <c:pt idx="4">
                  <c:v>-12760.4151</c:v>
                </c:pt>
                <c:pt idx="5">
                  <c:v>-23057.0504</c:v>
                </c:pt>
                <c:pt idx="6">
                  <c:v>-2493.1111000000001</c:v>
                </c:pt>
                <c:pt idx="7">
                  <c:v>-20506.428100000001</c:v>
                </c:pt>
                <c:pt idx="8">
                  <c:v>-5944.6552000000001</c:v>
                </c:pt>
                <c:pt idx="9">
                  <c:v>-40075.356899999999</c:v>
                </c:pt>
                <c:pt idx="10">
                  <c:v>-30539.039199999999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59ED-4359-AA7B-851A0B609C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60918287"/>
        <c:axId val="360901967"/>
      </c:barChart>
      <c:catAx>
        <c:axId val="36091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Discount Bucket (0.5)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01967"/>
        <c:crosses val="autoZero"/>
        <c:auto val="1"/>
        <c:lblAlgn val="ctr"/>
        <c:lblOffset val="100"/>
        <c:noMultiLvlLbl val="0"/>
      </c:catAx>
      <c:valAx>
        <c:axId val="3609019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Total Profit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18287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'5_profit_margin'!$A$2:$A$4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'5_profit_margin'!$D$2:$D$4</c:f>
              <c:numCache>
                <c:formatCode>0.00</c:formatCode>
                <c:ptCount val="3"/>
                <c:pt idx="0">
                  <c:v>17.399999999999999</c:v>
                </c:pt>
                <c:pt idx="1">
                  <c:v>17.04</c:v>
                </c:pt>
                <c:pt idx="2">
                  <c:v>2.4900000000000002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F-466C-A06D-DDAD97337F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500895"/>
        <c:axId val="63502335"/>
      </c:barChart>
      <c:catAx>
        <c:axId val="63500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2335"/>
        <c:crosses val="autoZero"/>
        <c:auto val="1"/>
        <c:lblAlgn val="ctr"/>
        <c:lblOffset val="100"/>
        <c:noMultiLvlLbl val="0"/>
      </c:catAx>
      <c:valAx>
        <c:axId val="635023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Profit Margin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0895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'4_top_products'!$B$1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7194476494559229E-3"/>
                  <c:y val="-8.8180555555555564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92D1617-757F-40D0-8F0C-38334E82B651}" type="VALUE">
                      <a:rPr lang="en-US" sz="1100" b="1">
                        <a:solidFill>
                          <a:schemeClr val="tx1"/>
                        </a:solidFill>
                      </a:rPr>
                      <a:pPr>
                        <a:defRPr sz="11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MY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MY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1BF-4921-BDC7-EEC85AF28FB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'4_top_products'!$A$2:$A$11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'4_top_products'!$B$2:$B$11</c:f>
              <c:numCache>
                <c:formatCode>0.00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F-4921-BDC7-EEC85AF28F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60883727"/>
        <c:axId val="360880367"/>
      </c:barChart>
      <c:catAx>
        <c:axId val="36088372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Top 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80367"/>
        <c:crosses val="autoZero"/>
        <c:auto val="1"/>
        <c:lblAlgn val="ctr"/>
        <c:lblOffset val="100"/>
        <c:noMultiLvlLbl val="0"/>
      </c:catAx>
      <c:valAx>
        <c:axId val="360880367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Total Sales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83727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Average Order Value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2.2613960113960115E-3"/>
                  <c:y val="0.10854700854700855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A6-4AC4-8564-1226C47DBB9B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'6_avg_order_value'!$A$2:$A$4</c:f>
              <c:strCache>
                <c:ptCount val="3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</c:strCache>
            </c:strRef>
          </c:cat>
          <c:val>
            <c:numRef>
              <c:f>'6_avg_order_value'!$D$2:$D$4</c:f>
              <c:numCache>
                <c:formatCode>0.00</c:formatCode>
                <c:ptCount val="3"/>
                <c:pt idx="0">
                  <c:v>472.67</c:v>
                </c:pt>
                <c:pt idx="1">
                  <c:v>466.41</c:v>
                </c:pt>
                <c:pt idx="2">
                  <c:v>449.11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6-4AC4-8564-1226C47DBB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30206863"/>
        <c:axId val="730207343"/>
      </c:barChart>
      <c:catAx>
        <c:axId val="730206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7343"/>
        <c:crosses val="autoZero"/>
        <c:auto val="1"/>
        <c:lblAlgn val="ctr"/>
        <c:lblOffset val="100"/>
        <c:noMultiLvlLbl val="0"/>
      </c:catAx>
      <c:valAx>
        <c:axId val="730207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Average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686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Shipping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'7_shipping_efficiency'!$A$2:$A$5</c:f>
              <c:strCache>
                <c:ptCount val="4"/>
                <c:pt idx="0">
                  <c:v>Same Day</c:v>
                </c:pt>
                <c:pt idx="1">
                  <c:v>First Class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'7_shipping_efficiency'!$B$2:$B$5</c:f>
              <c:numCache>
                <c:formatCode>0.00</c:formatCode>
                <c:ptCount val="4"/>
                <c:pt idx="0">
                  <c:v>543</c:v>
                </c:pt>
                <c:pt idx="1">
                  <c:v>1538</c:v>
                </c:pt>
                <c:pt idx="2">
                  <c:v>1945</c:v>
                </c:pt>
                <c:pt idx="3">
                  <c:v>5968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E-475A-8B01-5F64F2D713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30041247"/>
        <c:axId val="730039807"/>
      </c:barChart>
      <c:catAx>
        <c:axId val="7300412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Shipping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39807"/>
        <c:crosses val="autoZero"/>
        <c:auto val="1"/>
        <c:lblAlgn val="ctr"/>
        <c:lblOffset val="100"/>
        <c:noMultiLvlLbl val="0"/>
      </c:catAx>
      <c:valAx>
        <c:axId val="730039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Usage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41247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Shipping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'7_shipping_efficiency'!$A$2:$A$5</c:f>
              <c:strCache>
                <c:ptCount val="4"/>
                <c:pt idx="0">
                  <c:v>Same Day</c:v>
                </c:pt>
                <c:pt idx="1">
                  <c:v>First Class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'7_shipping_efficiency'!$C$2:$C$5</c:f>
              <c:numCache>
                <c:formatCode>0.00</c:formatCode>
                <c:ptCount val="4"/>
                <c:pt idx="0">
                  <c:v>0.04</c:v>
                </c:pt>
                <c:pt idx="1">
                  <c:v>2.1800000000000002</c:v>
                </c:pt>
                <c:pt idx="2">
                  <c:v>3.24</c:v>
                </c:pt>
                <c:pt idx="3">
                  <c:v>5.01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E-494F-A900-3B26EAFB51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30191983"/>
        <c:axId val="730192943"/>
      </c:barChart>
      <c:catAx>
        <c:axId val="7301919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Shipping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92943"/>
        <c:crosses val="autoZero"/>
        <c:auto val="1"/>
        <c:lblAlgn val="ctr"/>
        <c:lblOffset val="100"/>
        <c:noMultiLvlLbl val="0"/>
      </c:catAx>
      <c:valAx>
        <c:axId val="73019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No. of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9198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'1_monthly_sales'!$B$1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'1_monthly_sales'!$A$2:$A$49</c:f>
              <c:numCache>
                <c:formatCode>yyyy\-mm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cat>
          <c:val>
            <c:numRef>
              <c:f>'1_monthly_sales'!$B$2:$B$49</c:f>
              <c:numCache>
                <c:formatCode>0.00</c:formatCode>
                <c:ptCount val="48"/>
                <c:pt idx="0">
                  <c:v>14236.895</c:v>
                </c:pt>
                <c:pt idx="1">
                  <c:v>4519.8919999999998</c:v>
                </c:pt>
                <c:pt idx="2">
                  <c:v>55691.008999999998</c:v>
                </c:pt>
                <c:pt idx="3">
                  <c:v>28295.345000000001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33946.392999999996</c:v>
                </c:pt>
                <c:pt idx="7">
                  <c:v>27909.468499999999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78628.716700000004</c:v>
                </c:pt>
                <c:pt idx="11">
                  <c:v>69545.620500000005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34195.208500000001</c:v>
                </c:pt>
                <c:pt idx="16">
                  <c:v>30131.6865</c:v>
                </c:pt>
                <c:pt idx="17">
                  <c:v>24797.292000000001</c:v>
                </c:pt>
                <c:pt idx="18">
                  <c:v>28765.325000000001</c:v>
                </c:pt>
                <c:pt idx="19">
                  <c:v>36898.332199999997</c:v>
                </c:pt>
                <c:pt idx="20">
                  <c:v>64595.917999999998</c:v>
                </c:pt>
                <c:pt idx="21">
                  <c:v>31404.923500000001</c:v>
                </c:pt>
                <c:pt idx="22">
                  <c:v>75972.563500000004</c:v>
                </c:pt>
                <c:pt idx="23">
                  <c:v>74919.521200000003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51715.875</c:v>
                </c:pt>
                <c:pt idx="27">
                  <c:v>38750.038999999997</c:v>
                </c:pt>
                <c:pt idx="28">
                  <c:v>56987.728000000003</c:v>
                </c:pt>
                <c:pt idx="29">
                  <c:v>40344.534</c:v>
                </c:pt>
                <c:pt idx="30">
                  <c:v>39261.963000000003</c:v>
                </c:pt>
                <c:pt idx="31">
                  <c:v>31115.374299999999</c:v>
                </c:pt>
                <c:pt idx="32">
                  <c:v>73410.024900000004</c:v>
                </c:pt>
                <c:pt idx="33">
                  <c:v>59687.745000000003</c:v>
                </c:pt>
                <c:pt idx="34">
                  <c:v>79411.965800000005</c:v>
                </c:pt>
                <c:pt idx="35">
                  <c:v>96999.043000000005</c:v>
                </c:pt>
                <c:pt idx="36">
                  <c:v>43971.374000000003</c:v>
                </c:pt>
                <c:pt idx="37">
                  <c:v>20301.133399999999</c:v>
                </c:pt>
                <c:pt idx="38">
                  <c:v>58872.352800000001</c:v>
                </c:pt>
                <c:pt idx="39">
                  <c:v>36521.536099999998</c:v>
                </c:pt>
                <c:pt idx="40">
                  <c:v>44261.110200000003</c:v>
                </c:pt>
                <c:pt idx="41">
                  <c:v>52981.725700000003</c:v>
                </c:pt>
                <c:pt idx="42">
                  <c:v>45264.415999999997</c:v>
                </c:pt>
                <c:pt idx="43">
                  <c:v>63120.887999999999</c:v>
                </c:pt>
                <c:pt idx="44">
                  <c:v>87866.652000000002</c:v>
                </c:pt>
                <c:pt idx="45">
                  <c:v>77776.923200000005</c:v>
                </c:pt>
                <c:pt idx="46">
                  <c:v>118447.825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1-4DC9-8C26-28E08CB90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911087"/>
        <c:axId val="360910607"/>
      </c:lineChart>
      <c:dateAx>
        <c:axId val="36091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Year-Month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\-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10607"/>
        <c:crosses val="autoZero"/>
        <c:auto val="1"/>
        <c:lblOffset val="100"/>
        <c:baseTimeUnit val="months"/>
      </c:dateAx>
      <c:valAx>
        <c:axId val="36091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 Sales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1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'2_discount_profit'!$B$1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rgbClr val="275317"/>
            </a:solidFill>
            <a:ln>
              <a:noFill/>
            </a:ln>
            <a:effectLst/>
          </c:spPr>
          <c:invertIfNegative val="1"/>
          <c:cat>
            <c:numRef>
              <c:f>'2_discount_profit'!$A$2:$A$12</c:f>
              <c:numCache>
                <c:formatCode>0.00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0.45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</c:numCache>
            </c:numRef>
          </c:cat>
          <c:val>
            <c:numRef>
              <c:f>'2_discount_profit'!$B$2:$B$12</c:f>
              <c:numCache>
                <c:formatCode>0.00</c:formatCode>
                <c:ptCount val="11"/>
                <c:pt idx="0">
                  <c:v>320987.60320000001</c:v>
                </c:pt>
                <c:pt idx="1">
                  <c:v>9029.1769999999997</c:v>
                </c:pt>
                <c:pt idx="2">
                  <c:v>1418.9915000000001</c:v>
                </c:pt>
                <c:pt idx="3">
                  <c:v>90337.305999999997</c:v>
                </c:pt>
                <c:pt idx="4">
                  <c:v>-12760.4151</c:v>
                </c:pt>
                <c:pt idx="5">
                  <c:v>-23057.0504</c:v>
                </c:pt>
                <c:pt idx="6">
                  <c:v>-2493.1111000000001</c:v>
                </c:pt>
                <c:pt idx="7">
                  <c:v>-20506.428100000001</c:v>
                </c:pt>
                <c:pt idx="8">
                  <c:v>-5944.6552000000001</c:v>
                </c:pt>
                <c:pt idx="9">
                  <c:v>-40075.356899999999</c:v>
                </c:pt>
                <c:pt idx="10">
                  <c:v>-30539.039199999999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7AD5-42B5-A36C-C3C6A6ECC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918287"/>
        <c:axId val="360901967"/>
      </c:barChart>
      <c:catAx>
        <c:axId val="36091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Discount Bucket (0.5)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01967"/>
        <c:crosses val="autoZero"/>
        <c:auto val="1"/>
        <c:lblAlgn val="ctr"/>
        <c:lblOffset val="100"/>
        <c:noMultiLvlLbl val="0"/>
      </c:catAx>
      <c:valAx>
        <c:axId val="36090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 Profit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1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'3_regional_sales'!$B$1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'3_regional_sales'!$A$2:$A$5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'3_regional_sales'!$B$2:$B$5</c:f>
              <c:numCache>
                <c:formatCode>0.00</c:formatCode>
                <c:ptCount val="4"/>
                <c:pt idx="0">
                  <c:v>725457.82449999999</c:v>
                </c:pt>
                <c:pt idx="1">
                  <c:v>678781.24</c:v>
                </c:pt>
                <c:pt idx="2">
                  <c:v>501239.89079999999</c:v>
                </c:pt>
                <c:pt idx="3">
                  <c:v>391721.90500000003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4-4937-8A64-6F082609E0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0866927"/>
        <c:axId val="360866447"/>
      </c:barChart>
      <c:catAx>
        <c:axId val="36086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66447"/>
        <c:crosses val="autoZero"/>
        <c:auto val="1"/>
        <c:lblAlgn val="ctr"/>
        <c:lblOffset val="100"/>
        <c:noMultiLvlLbl val="0"/>
      </c:catAx>
      <c:valAx>
        <c:axId val="36086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Sales (USD)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6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 by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'4_top_products'!$B$1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'4_top_products'!$A$2:$A$11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'4_top_products'!$B$2:$B$11</c:f>
              <c:numCache>
                <c:formatCode>0.00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7-40A0-B1CA-E087EDF0AC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360883727"/>
        <c:axId val="360880367"/>
      </c:barChart>
      <c:catAx>
        <c:axId val="36088372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Top 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80367"/>
        <c:crosses val="autoZero"/>
        <c:auto val="1"/>
        <c:lblAlgn val="ctr"/>
        <c:lblOffset val="100"/>
        <c:noMultiLvlLbl val="0"/>
      </c:catAx>
      <c:valAx>
        <c:axId val="360880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 Sales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8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Total</a:t>
            </a:r>
            <a:r>
              <a:rPr lang="en-MY" baseline="0"/>
              <a:t> Sales and Profit by Category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'5_profit_margin'!$A$2:$A$4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'5_profit_margin'!$B$2:$B$4</c:f>
              <c:numCache>
                <c:formatCode>0.00</c:formatCode>
                <c:ptCount val="3"/>
                <c:pt idx="0">
                  <c:v>836154.03300000005</c:v>
                </c:pt>
                <c:pt idx="1">
                  <c:v>719047.03200000001</c:v>
                </c:pt>
                <c:pt idx="2">
                  <c:v>741999.7953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F-4D69-BF97-A0F0562CD4A4}"/>
            </c:ext>
          </c:extLst>
        </c:ser>
        <c:ser>
          <c:idx val="1"/>
          <c:order val="1"/>
          <c:tx>
            <c:v>Total 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'5_profit_margin'!$A$2:$A$4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'5_profit_margin'!$C$2:$C$4</c:f>
              <c:numCache>
                <c:formatCode>0.00</c:formatCode>
                <c:ptCount val="3"/>
                <c:pt idx="0">
                  <c:v>145454.94810000001</c:v>
                </c:pt>
                <c:pt idx="1">
                  <c:v>122490.8008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F-4D69-BF97-A0F0562CD4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97996223"/>
        <c:axId val="797996703"/>
      </c:barChart>
      <c:catAx>
        <c:axId val="79799622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96703"/>
        <c:crosses val="autoZero"/>
        <c:auto val="1"/>
        <c:lblAlgn val="ctr"/>
        <c:lblOffset val="100"/>
        <c:noMultiLvlLbl val="0"/>
      </c:catAx>
      <c:valAx>
        <c:axId val="79799670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 Sales, Total Profit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9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Profit Margin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'5_profit_margin'!$A$2:$A$4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'5_profit_margin'!$D$2:$D$4</c:f>
              <c:numCache>
                <c:formatCode>0.00</c:formatCode>
                <c:ptCount val="3"/>
                <c:pt idx="0">
                  <c:v>17.399999999999999</c:v>
                </c:pt>
                <c:pt idx="1">
                  <c:v>17.04</c:v>
                </c:pt>
                <c:pt idx="2">
                  <c:v>2.4900000000000002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1-4377-93A8-9866DE7927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63500895"/>
        <c:axId val="63502335"/>
      </c:barChart>
      <c:catAx>
        <c:axId val="6350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02335"/>
        <c:crosses val="autoZero"/>
        <c:auto val="1"/>
        <c:lblAlgn val="ctr"/>
        <c:lblOffset val="100"/>
        <c:noMultiLvlLbl val="0"/>
      </c:catAx>
      <c:valAx>
        <c:axId val="6350233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6350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Average Order Value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'6_avg_order_value'!$A$2:$A$4</c:f>
              <c:strCache>
                <c:ptCount val="3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</c:strCache>
            </c:strRef>
          </c:cat>
          <c:val>
            <c:numRef>
              <c:f>'6_avg_order_value'!$D$2:$D$4</c:f>
              <c:numCache>
                <c:formatCode>0.00</c:formatCode>
                <c:ptCount val="3"/>
                <c:pt idx="0">
                  <c:v>472.67</c:v>
                </c:pt>
                <c:pt idx="1">
                  <c:v>466.41</c:v>
                </c:pt>
                <c:pt idx="2">
                  <c:v>449.11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F-42D0-AFE0-C208BA243C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0206863"/>
        <c:axId val="730207343"/>
      </c:barChart>
      <c:catAx>
        <c:axId val="730206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7343"/>
        <c:crosses val="autoZero"/>
        <c:auto val="1"/>
        <c:lblAlgn val="ctr"/>
        <c:lblOffset val="100"/>
        <c:noMultiLvlLbl val="0"/>
      </c:catAx>
      <c:valAx>
        <c:axId val="73020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Average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Average Shipping Days </a:t>
            </a:r>
            <a:r>
              <a:rPr lang="en-MY" baseline="0"/>
              <a:t>by Shipping Mode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'7_shipping_efficiency'!$A$2:$A$5</c:f>
              <c:strCache>
                <c:ptCount val="4"/>
                <c:pt idx="0">
                  <c:v>Same Day</c:v>
                </c:pt>
                <c:pt idx="1">
                  <c:v>First Class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'7_shipping_efficiency'!$C$2:$C$5</c:f>
              <c:numCache>
                <c:formatCode>0.00</c:formatCode>
                <c:ptCount val="4"/>
                <c:pt idx="0">
                  <c:v>0.04</c:v>
                </c:pt>
                <c:pt idx="1">
                  <c:v>2.1800000000000002</c:v>
                </c:pt>
                <c:pt idx="2">
                  <c:v>3.24</c:v>
                </c:pt>
                <c:pt idx="3">
                  <c:v>5.01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9-458C-AC10-18D2CAAFA9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0191983"/>
        <c:axId val="730192943"/>
      </c:barChart>
      <c:catAx>
        <c:axId val="7301919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Shipping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92943"/>
        <c:crosses val="autoZero"/>
        <c:auto val="1"/>
        <c:lblAlgn val="ctr"/>
        <c:lblOffset val="100"/>
        <c:noMultiLvlLbl val="0"/>
      </c:catAx>
      <c:valAx>
        <c:axId val="73019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No. of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9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Shipping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'7_shipping_efficiency'!$A$2:$A$5</c:f>
              <c:strCache>
                <c:ptCount val="4"/>
                <c:pt idx="0">
                  <c:v>Same Day</c:v>
                </c:pt>
                <c:pt idx="1">
                  <c:v>First Class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'7_shipping_efficiency'!$B$2:$B$5</c:f>
              <c:numCache>
                <c:formatCode>0.00</c:formatCode>
                <c:ptCount val="4"/>
                <c:pt idx="0">
                  <c:v>543</c:v>
                </c:pt>
                <c:pt idx="1">
                  <c:v>1538</c:v>
                </c:pt>
                <c:pt idx="2">
                  <c:v>1945</c:v>
                </c:pt>
                <c:pt idx="3">
                  <c:v>5968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9-49AE-80AB-D735A8EC1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0041247"/>
        <c:axId val="730039807"/>
      </c:barChart>
      <c:catAx>
        <c:axId val="7300412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Shipping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39807"/>
        <c:crosses val="autoZero"/>
        <c:auto val="1"/>
        <c:lblAlgn val="ctr"/>
        <c:lblOffset val="100"/>
        <c:noMultiLvlLbl val="0"/>
      </c:catAx>
      <c:valAx>
        <c:axId val="73003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Usage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4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0</xdr:rowOff>
    </xdr:from>
    <xdr:to>
      <xdr:col>19</xdr:col>
      <xdr:colOff>6350</xdr:colOff>
      <xdr:row>4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E5D1B0D-5E50-51DA-CADB-C34A25F58A05}"/>
            </a:ext>
          </a:extLst>
        </xdr:cNvPr>
        <xdr:cNvSpPr/>
      </xdr:nvSpPr>
      <xdr:spPr>
        <a:xfrm>
          <a:off x="6350" y="0"/>
          <a:ext cx="11576050" cy="908050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3</xdr:col>
      <xdr:colOff>488950</xdr:colOff>
      <xdr:row>0</xdr:row>
      <xdr:rowOff>139700</xdr:rowOff>
    </xdr:from>
    <xdr:to>
      <xdr:col>15</xdr:col>
      <xdr:colOff>165100</xdr:colOff>
      <xdr:row>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27EBC0-1DC4-0838-F9DE-379AB86CE5E6}"/>
            </a:ext>
          </a:extLst>
        </xdr:cNvPr>
        <xdr:cNvSpPr txBox="1"/>
      </xdr:nvSpPr>
      <xdr:spPr>
        <a:xfrm>
          <a:off x="2326715" y="139700"/>
          <a:ext cx="7027209" cy="607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3600" b="1">
              <a:solidFill>
                <a:schemeClr val="bg1"/>
              </a:solidFill>
            </a:rPr>
            <a:t>Superstore Performance Dashboard</a:t>
          </a:r>
        </a:p>
      </xdr:txBody>
    </xdr:sp>
    <xdr:clientData/>
  </xdr:twoCellAnchor>
  <xdr:twoCellAnchor>
    <xdr:from>
      <xdr:col>0</xdr:col>
      <xdr:colOff>6350</xdr:colOff>
      <xdr:row>5</xdr:row>
      <xdr:rowOff>12700</xdr:rowOff>
    </xdr:from>
    <xdr:to>
      <xdr:col>19</xdr:col>
      <xdr:colOff>6350</xdr:colOff>
      <xdr:row>93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CB3B91D-3921-2CDE-51E8-AA6770D8D88E}"/>
            </a:ext>
          </a:extLst>
        </xdr:cNvPr>
        <xdr:cNvSpPr/>
      </xdr:nvSpPr>
      <xdr:spPr>
        <a:xfrm>
          <a:off x="6350" y="933450"/>
          <a:ext cx="11582400" cy="161988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000"/>
        </a:p>
      </xdr:txBody>
    </xdr:sp>
    <xdr:clientData/>
  </xdr:twoCellAnchor>
  <xdr:twoCellAnchor>
    <xdr:from>
      <xdr:col>0</xdr:col>
      <xdr:colOff>82550</xdr:colOff>
      <xdr:row>5</xdr:row>
      <xdr:rowOff>101600</xdr:rowOff>
    </xdr:from>
    <xdr:to>
      <xdr:col>18</xdr:col>
      <xdr:colOff>533400</xdr:colOff>
      <xdr:row>21</xdr:row>
      <xdr:rowOff>35200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2F798A-C9A5-4C2C-A3B8-2F91E257E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234950</xdr:colOff>
      <xdr:row>0</xdr:row>
      <xdr:rowOff>0</xdr:rowOff>
    </xdr:from>
    <xdr:to>
      <xdr:col>3</xdr:col>
      <xdr:colOff>565150</xdr:colOff>
      <xdr:row>5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2985566-EE74-46D0-DD13-5A2235D7F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126" y="0"/>
          <a:ext cx="942789" cy="952874"/>
        </a:xfrm>
        <a:prstGeom prst="rect">
          <a:avLst/>
        </a:prstGeom>
      </xdr:spPr>
    </xdr:pic>
    <xdr:clientData/>
  </xdr:twoCellAnchor>
  <xdr:twoCellAnchor>
    <xdr:from>
      <xdr:col>9</xdr:col>
      <xdr:colOff>374650</xdr:colOff>
      <xdr:row>54</xdr:row>
      <xdr:rowOff>63500</xdr:rowOff>
    </xdr:from>
    <xdr:to>
      <xdr:col>18</xdr:col>
      <xdr:colOff>504250</xdr:colOff>
      <xdr:row>69</xdr:row>
      <xdr:rowOff>181250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496CE1D-37A8-4C57-8F83-AF4C4C1F9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82550</xdr:colOff>
      <xdr:row>21</xdr:row>
      <xdr:rowOff>146050</xdr:rowOff>
    </xdr:from>
    <xdr:to>
      <xdr:col>9</xdr:col>
      <xdr:colOff>212150</xdr:colOff>
      <xdr:row>37</xdr:row>
      <xdr:rowOff>79650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7C88961-8145-4987-B1C7-499F0E783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406400</xdr:colOff>
      <xdr:row>21</xdr:row>
      <xdr:rowOff>146050</xdr:rowOff>
    </xdr:from>
    <xdr:to>
      <xdr:col>18</xdr:col>
      <xdr:colOff>536000</xdr:colOff>
      <xdr:row>37</xdr:row>
      <xdr:rowOff>79650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EB38F0F-C2DF-4CB5-A0C7-54EFB3C8A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76200</xdr:colOff>
      <xdr:row>38</xdr:row>
      <xdr:rowOff>19050</xdr:rowOff>
    </xdr:from>
    <xdr:to>
      <xdr:col>18</xdr:col>
      <xdr:colOff>516949</xdr:colOff>
      <xdr:row>53</xdr:row>
      <xdr:rowOff>136800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F286EE9-F405-4C28-8D34-A6CFEFF80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69850</xdr:colOff>
      <xdr:row>54</xdr:row>
      <xdr:rowOff>63500</xdr:rowOff>
    </xdr:from>
    <xdr:to>
      <xdr:col>9</xdr:col>
      <xdr:colOff>199450</xdr:colOff>
      <xdr:row>69</xdr:row>
      <xdr:rowOff>181250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8C16657-DB93-4F30-B602-6777C6A28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82550</xdr:colOff>
      <xdr:row>70</xdr:row>
      <xdr:rowOff>107950</xdr:rowOff>
    </xdr:from>
    <xdr:to>
      <xdr:col>9</xdr:col>
      <xdr:colOff>209550</xdr:colOff>
      <xdr:row>84</xdr:row>
      <xdr:rowOff>49850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8B08740-78D4-49F5-A77D-F8F3D4F7C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368300</xdr:colOff>
      <xdr:row>70</xdr:row>
      <xdr:rowOff>114299</xdr:rowOff>
    </xdr:from>
    <xdr:to>
      <xdr:col>18</xdr:col>
      <xdr:colOff>514350</xdr:colOff>
      <xdr:row>84</xdr:row>
      <xdr:rowOff>56199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DD4430-10B2-4782-9844-68D1E8CD0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63500</xdr:colOff>
      <xdr:row>84</xdr:row>
      <xdr:rowOff>171450</xdr:rowOff>
    </xdr:from>
    <xdr:to>
      <xdr:col>18</xdr:col>
      <xdr:colOff>482600</xdr:colOff>
      <xdr:row>91</xdr:row>
      <xdr:rowOff>171450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A91F607-E8A0-817E-0682-5855626A38E0}"/>
            </a:ext>
          </a:extLst>
        </xdr:cNvPr>
        <xdr:cNvSpPr/>
      </xdr:nvSpPr>
      <xdr:spPr>
        <a:xfrm>
          <a:off x="63500" y="15640050"/>
          <a:ext cx="11391900" cy="12890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Sales show clear monthly fluctuations, indicating seasonal demand patterns</a:t>
          </a:r>
        </a:p>
        <a:p>
          <a:pPr algn="l"/>
          <a:r>
            <a:rPr lang="en-MY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Higher discount levels do not always lead to increased profitability</a:t>
          </a:r>
        </a:p>
        <a:p>
          <a:pPr algn="l"/>
          <a:r>
            <a:rPr lang="en-MY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Technology category has largest profit margin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Home Office segment shows highest average order value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1100" b="1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West region contribute the highest sales</a:t>
          </a:r>
          <a:endParaRPr lang="en-MY" sz="11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n-MY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Standard shipping is most preferable although has the longest delivery time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6350</xdr:rowOff>
    </xdr:from>
    <xdr:to>
      <xdr:col>13</xdr:col>
      <xdr:colOff>6349</xdr:colOff>
      <xdr:row>19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3B8114-02C5-5599-33FF-D34FF242F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193675</xdr:colOff>
      <xdr:row>12</xdr:row>
      <xdr:rowOff>177800</xdr:rowOff>
    </xdr:from>
    <xdr:to>
      <xdr:col>7</xdr:col>
      <xdr:colOff>444501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8913E7-E0B3-5CE5-6633-63D82DE54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6</xdr:row>
      <xdr:rowOff>12700</xdr:rowOff>
    </xdr:from>
    <xdr:to>
      <xdr:col>8</xdr:col>
      <xdr:colOff>12700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3D571-FA58-3355-7594-B82D9D48E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174624</xdr:colOff>
      <xdr:row>12</xdr:row>
      <xdr:rowOff>6350</xdr:rowOff>
    </xdr:from>
    <xdr:to>
      <xdr:col>2</xdr:col>
      <xdr:colOff>260349</xdr:colOff>
      <xdr:row>30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3FC8B-F42E-0226-A283-FCA8E1847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441324</xdr:colOff>
      <xdr:row>5</xdr:row>
      <xdr:rowOff>12700</xdr:rowOff>
    </xdr:from>
    <xdr:to>
      <xdr:col>6</xdr:col>
      <xdr:colOff>6350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27C5A5-8D73-4991-D069-4B41FB675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441324</xdr:colOff>
      <xdr:row>21</xdr:row>
      <xdr:rowOff>12700</xdr:rowOff>
    </xdr:from>
    <xdr:to>
      <xdr:col>6</xdr:col>
      <xdr:colOff>6349</xdr:colOff>
      <xdr:row>35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D1D9F9-F1B8-DE1E-927D-353195E34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5</xdr:row>
      <xdr:rowOff>3174</xdr:rowOff>
    </xdr:from>
    <xdr:to>
      <xdr:col>7</xdr:col>
      <xdr:colOff>247651</xdr:colOff>
      <xdr:row>20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BB0F36-6F9A-5AAC-3745-55843EF09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441324</xdr:colOff>
      <xdr:row>6</xdr:row>
      <xdr:rowOff>3174</xdr:rowOff>
    </xdr:from>
    <xdr:to>
      <xdr:col>4</xdr:col>
      <xdr:colOff>889000</xdr:colOff>
      <xdr:row>22</xdr:row>
      <xdr:rowOff>6349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EFA9CE-2F7D-F4B4-BC4F-E161B9136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434974</xdr:colOff>
      <xdr:row>22</xdr:row>
      <xdr:rowOff>177800</xdr:rowOff>
    </xdr:from>
    <xdr:to>
      <xdr:col>4</xdr:col>
      <xdr:colOff>901699</xdr:colOff>
      <xdr:row>39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7E1128-1381-2399-4C2E-8B1554430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E3F24C-23AF-4EF0-8C6D-A1BD96AD3746}" autoFormatId="16" applyNumberFormats="0" applyBorderFormats="0" applyFontFormats="0" applyPatternFormats="0" applyAlignmentFormats="0" applyWidthHeightFormats="0">
  <queryTableRefresh nextId="3">
    <queryTableFields count="2">
      <queryTableField id="1" name="year_month" tableColumnId="1"/>
      <queryTableField id="2" name="total_sal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9343362-1508-4E0B-B8D1-B2BB8212CD79}" autoFormatId="16" applyNumberFormats="0" applyBorderFormats="0" applyFontFormats="0" applyPatternFormats="0" applyAlignmentFormats="0" applyWidthHeightFormats="0">
  <queryTableRefresh nextId="3">
    <queryTableFields count="2">
      <queryTableField id="1" name="discount_bucket" tableColumnId="1"/>
      <queryTableField id="2" name="total_profi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C15381A-8263-4378-8131-246302690676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total_sal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95AFB50-8126-4633-BA9A-05EA32B92913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total_sale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DCDE574-4978-4E30-8259-4A66206E58DB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total_sales" tableColumnId="2"/>
      <queryTableField id="3" name="total_profit" tableColumnId="3"/>
      <queryTableField id="4" name="profit_margin_percent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395E15F-2222-4A36-834A-356F12FA871F}" autoFormatId="16" applyNumberFormats="0" applyBorderFormats="0" applyFontFormats="0" applyPatternFormats="0" applyAlignmentFormats="0" applyWidthHeightFormats="0">
  <queryTableRefresh nextId="5">
    <queryTableFields count="4">
      <queryTableField id="1" name="segment" tableColumnId="1"/>
      <queryTableField id="2" name="total_orders" tableColumnId="2"/>
      <queryTableField id="3" name="total_sales" tableColumnId="3"/>
      <queryTableField id="4" name="avg_order_valu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E4ABD82-494C-460B-89C5-2C55355FDCFB}" autoFormatId="16" applyNumberFormats="0" applyBorderFormats="0" applyFontFormats="0" applyPatternFormats="0" applyAlignmentFormats="0" applyWidthHeightFormats="0">
  <queryTableRefresh nextId="6">
    <queryTableFields count="5">
      <queryTableField id="1" name="ship_mode" tableColumnId="1"/>
      <queryTableField id="2" name="total_orders" tableColumnId="2"/>
      <queryTableField id="3" name="avg_shipping_days" tableColumnId="3"/>
      <queryTableField id="4" name="min_shipping_days" tableColumnId="4"/>
      <queryTableField id="5" name="max_shipping_day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8E8250-8BFA-4DDC-A208-41DE64AA6194}" name="_1_monthly_sales" displayName="_1_monthly_sales" ref="A1:B49" tableType="queryTable" totalsRowShown="0">
  <autoFilter ref="A1:B49" xr:uid="{3F8E8250-8BFA-4DDC-A208-41DE64AA6194}"/>
  <tableColumns count="2">
    <tableColumn id="1" xr3:uid="{65F95535-5898-4E5B-92F1-9D519B7E4684}" uniqueName="1" name="year_month" queryTableFieldId="1" dataDxfId="21"/>
    <tableColumn id="2" xr3:uid="{BAC91C2A-43AC-423E-A320-C4F266A1A728}" uniqueName="2" name="total_sales" queryTableFieldId="2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41437B-CD71-40E8-BBD8-4ADCE0E65937}" name="_2_discount_profit" displayName="_2_discount_profit" ref="A1:B12" tableType="queryTable" totalsRowShown="0" dataDxfId="19">
  <autoFilter ref="A1:B12" xr:uid="{8941437B-CD71-40E8-BBD8-4ADCE0E65937}"/>
  <tableColumns count="2">
    <tableColumn id="1" xr3:uid="{B5A12A30-E93C-4A27-AD86-C4CAF51ABA6D}" uniqueName="1" name="discount_bucket" queryTableFieldId="1" dataDxfId="18"/>
    <tableColumn id="2" xr3:uid="{2F74D397-ED56-4CEF-8ED3-D03F5A8D47AE}" uniqueName="2" name="total_profit" queryTableFieldId="2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7A2C39-96BE-4635-B9C7-81F46CF03913}" name="_3_regional_sales__2" displayName="_3_regional_sales__2" ref="A1:B5" tableType="queryTable" totalsRowShown="0">
  <autoFilter ref="A1:B5" xr:uid="{BA7A2C39-96BE-4635-B9C7-81F46CF03913}"/>
  <tableColumns count="2">
    <tableColumn id="1" xr3:uid="{31E68995-6AAF-43C8-B2C6-6CF128D3FB7F}" uniqueName="1" name="region" queryTableFieldId="1" dataDxfId="16"/>
    <tableColumn id="2" xr3:uid="{AB24B686-4573-49EA-8391-0BD55182C588}" uniqueName="2" name="total_sales" queryTableFieldId="2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38A4287-4C92-4FA4-BC50-C87DB89B6DE5}" name="_4_top_products__2" displayName="_4_top_products__2" ref="A1:B11" tableType="queryTable" totalsRowShown="0">
  <autoFilter ref="A1:B11" xr:uid="{638A4287-4C92-4FA4-BC50-C87DB89B6DE5}"/>
  <sortState xmlns:xlrd2="http://schemas.microsoft.com/office/spreadsheetml/2017/richdata2" ref="A2:B11">
    <sortCondition descending="1" ref="B1:B11"/>
  </sortState>
  <tableColumns count="2">
    <tableColumn id="1" xr3:uid="{FB37C920-C87C-43F6-B102-EAA3BFF48CBA}" uniqueName="1" name="product_name" queryTableFieldId="1" dataDxfId="14"/>
    <tableColumn id="2" xr3:uid="{77E3855A-6441-4BC7-BFE2-1BBFC1845507}" uniqueName="2" name="total_sales" queryTableFieldId="2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92DEC1-EF2C-49CC-8A4A-6A3D3754A871}" name="_5_profit_margin" displayName="_5_profit_margin" ref="A1:D4" tableType="queryTable" totalsRowShown="0">
  <autoFilter ref="A1:D4" xr:uid="{1F92DEC1-EF2C-49CC-8A4A-6A3D3754A871}"/>
  <tableColumns count="4">
    <tableColumn id="1" xr3:uid="{1F474D4A-86D6-4955-A017-01BD34D16324}" uniqueName="1" name="category" queryTableFieldId="1" dataDxfId="12"/>
    <tableColumn id="2" xr3:uid="{A8A3C571-6672-4AA6-95B2-575D8B83BD1D}" uniqueName="2" name="total_sales" queryTableFieldId="2" dataDxfId="11"/>
    <tableColumn id="3" xr3:uid="{52438E7D-B76B-4C66-8BDB-6C2AA75D0D8F}" uniqueName="3" name="total_profit" queryTableFieldId="3" dataDxfId="10"/>
    <tableColumn id="4" xr3:uid="{0CEBB329-C81A-4E11-8870-43180B27036B}" uniqueName="4" name="profit_margin_percent" queryTableFieldId="4" dataDxf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989651-2EB9-4010-9952-F4F37485A80C}" name="_6_avg_order_value" displayName="_6_avg_order_value" ref="A1:D4" tableType="queryTable" totalsRowShown="0">
  <autoFilter ref="A1:D4" xr:uid="{4A989651-2EB9-4010-9952-F4F37485A80C}"/>
  <tableColumns count="4">
    <tableColumn id="1" xr3:uid="{FAC006DC-3684-4B71-98EF-05CC767E2D62}" uniqueName="1" name="segment" queryTableFieldId="1" dataDxfId="8"/>
    <tableColumn id="2" xr3:uid="{3C4CF881-C0DE-49E1-BB51-64C58F1F1196}" uniqueName="2" name="total_orders" queryTableFieldId="2" dataDxfId="7"/>
    <tableColumn id="3" xr3:uid="{56DB9A03-717C-4DA3-9B05-E4DF3D7774DC}" uniqueName="3" name="total_sales" queryTableFieldId="3" dataDxfId="6"/>
    <tableColumn id="4" xr3:uid="{0B48B065-A722-4AB3-933B-4AD90084A3E9}" uniqueName="4" name="avg_order_value" queryTableFieldId="4" data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7A5038-8A56-4C44-BCEF-5A69207C3B54}" name="_7_shipping_efficiency" displayName="_7_shipping_efficiency" ref="A1:E5" tableType="queryTable" totalsRowShown="0">
  <autoFilter ref="A1:E5" xr:uid="{957A5038-8A56-4C44-BCEF-5A69207C3B54}"/>
  <tableColumns count="5">
    <tableColumn id="1" xr3:uid="{3C49F483-CCF7-45C9-8531-B8BCE0A3C4CE}" uniqueName="1" name="ship_mode" queryTableFieldId="1" dataDxfId="4"/>
    <tableColumn id="2" xr3:uid="{BA2120E3-BF9B-4ED4-8C85-08B25986EA54}" uniqueName="2" name="total_orders" queryTableFieldId="2" dataDxfId="3"/>
    <tableColumn id="3" xr3:uid="{79AD219D-3BAD-48E4-8E77-07C7A7959B48}" uniqueName="3" name="avg_shipping_days" queryTableFieldId="3" dataDxfId="2"/>
    <tableColumn id="4" xr3:uid="{0D5BA5A8-5E9F-4E1E-ADE0-2706C04BE4A4}" uniqueName="4" name="min_shipping_days" queryTableFieldId="4" dataDxfId="1"/>
    <tableColumn id="5" xr3:uid="{DE3974F3-19A4-4A46-B683-01FF136D303A}" uniqueName="5" name="max_shipping_day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C916-33D4-4C75-A4A4-9E6363A29A69}">
  <sheetPr>
    <pageSetUpPr fitToPage="1"/>
  </sheetPr>
  <dimension ref="A1"/>
  <sheetViews>
    <sheetView tabSelected="1" topLeftCell="A72" zoomScaleNormal="100" workbookViewId="0">
      <selection activeCell="G96" sqref="G96"/>
    </sheetView>
  </sheetViews>
  <sheetFormatPr defaultRowHeight="14.5" x14ac:dyDescent="0.35"/>
  <sheetData/>
  <pageMargins left="0.25" right="0.25" top="0.75" bottom="0.75" header="0.3" footer="0.3"/>
  <pageSetup paperSize="9" scale="51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BFE6-1C4D-4D13-AB35-64AEEC10E07C}">
  <dimension ref="A1:B49"/>
  <sheetViews>
    <sheetView topLeftCell="A34" workbookViewId="0">
      <selection activeCell="B10" sqref="A1:B49"/>
    </sheetView>
  </sheetViews>
  <sheetFormatPr defaultRowHeight="14.5" x14ac:dyDescent="0.35"/>
  <cols>
    <col min="1" max="1" width="12.90625" style="1" bestFit="1" customWidth="1"/>
    <col min="2" max="2" width="12.08984375" style="2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>
        <v>41640</v>
      </c>
      <c r="B2" s="2">
        <v>14236.895</v>
      </c>
    </row>
    <row r="3" spans="1:2" x14ac:dyDescent="0.35">
      <c r="A3" s="1">
        <v>41671</v>
      </c>
      <c r="B3" s="2">
        <v>4519.8919999999998</v>
      </c>
    </row>
    <row r="4" spans="1:2" x14ac:dyDescent="0.35">
      <c r="A4" s="1">
        <v>41699</v>
      </c>
      <c r="B4" s="2">
        <v>55691.008999999998</v>
      </c>
    </row>
    <row r="5" spans="1:2" x14ac:dyDescent="0.35">
      <c r="A5" s="1">
        <v>41730</v>
      </c>
      <c r="B5" s="2">
        <v>28295.345000000001</v>
      </c>
    </row>
    <row r="6" spans="1:2" x14ac:dyDescent="0.35">
      <c r="A6" s="1">
        <v>41760</v>
      </c>
      <c r="B6" s="2">
        <v>23648.287</v>
      </c>
    </row>
    <row r="7" spans="1:2" x14ac:dyDescent="0.35">
      <c r="A7" s="1">
        <v>41791</v>
      </c>
      <c r="B7" s="2">
        <v>34595.1276</v>
      </c>
    </row>
    <row r="8" spans="1:2" x14ac:dyDescent="0.35">
      <c r="A8" s="1">
        <v>41821</v>
      </c>
      <c r="B8" s="2">
        <v>33946.392999999996</v>
      </c>
    </row>
    <row r="9" spans="1:2" x14ac:dyDescent="0.35">
      <c r="A9" s="1">
        <v>41852</v>
      </c>
      <c r="B9" s="2">
        <v>27909.468499999999</v>
      </c>
    </row>
    <row r="10" spans="1:2" x14ac:dyDescent="0.35">
      <c r="A10" s="1">
        <v>41883</v>
      </c>
      <c r="B10" s="2">
        <v>81777.3508</v>
      </c>
    </row>
    <row r="11" spans="1:2" x14ac:dyDescent="0.35">
      <c r="A11" s="1">
        <v>41913</v>
      </c>
      <c r="B11" s="2">
        <v>31453.393</v>
      </c>
    </row>
    <row r="12" spans="1:2" x14ac:dyDescent="0.35">
      <c r="A12" s="1">
        <v>41944</v>
      </c>
      <c r="B12" s="2">
        <v>78628.716700000004</v>
      </c>
    </row>
    <row r="13" spans="1:2" x14ac:dyDescent="0.35">
      <c r="A13" s="1">
        <v>41974</v>
      </c>
      <c r="B13" s="2">
        <v>69545.620500000005</v>
      </c>
    </row>
    <row r="14" spans="1:2" x14ac:dyDescent="0.35">
      <c r="A14" s="1">
        <v>42005</v>
      </c>
      <c r="B14" s="2">
        <v>18174.0756</v>
      </c>
    </row>
    <row r="15" spans="1:2" x14ac:dyDescent="0.35">
      <c r="A15" s="1">
        <v>42036</v>
      </c>
      <c r="B15" s="2">
        <v>11951.411</v>
      </c>
    </row>
    <row r="16" spans="1:2" x14ac:dyDescent="0.35">
      <c r="A16" s="1">
        <v>42064</v>
      </c>
      <c r="B16" s="2">
        <v>38726.252</v>
      </c>
    </row>
    <row r="17" spans="1:2" x14ac:dyDescent="0.35">
      <c r="A17" s="1">
        <v>42095</v>
      </c>
      <c r="B17" s="2">
        <v>34195.208500000001</v>
      </c>
    </row>
    <row r="18" spans="1:2" x14ac:dyDescent="0.35">
      <c r="A18" s="1">
        <v>42125</v>
      </c>
      <c r="B18" s="2">
        <v>30131.6865</v>
      </c>
    </row>
    <row r="19" spans="1:2" x14ac:dyDescent="0.35">
      <c r="A19" s="1">
        <v>42156</v>
      </c>
      <c r="B19" s="2">
        <v>24797.292000000001</v>
      </c>
    </row>
    <row r="20" spans="1:2" x14ac:dyDescent="0.35">
      <c r="A20" s="1">
        <v>42186</v>
      </c>
      <c r="B20" s="2">
        <v>28765.325000000001</v>
      </c>
    </row>
    <row r="21" spans="1:2" x14ac:dyDescent="0.35">
      <c r="A21" s="1">
        <v>42217</v>
      </c>
      <c r="B21" s="2">
        <v>36898.332199999997</v>
      </c>
    </row>
    <row r="22" spans="1:2" x14ac:dyDescent="0.35">
      <c r="A22" s="1">
        <v>42248</v>
      </c>
      <c r="B22" s="2">
        <v>64595.917999999998</v>
      </c>
    </row>
    <row r="23" spans="1:2" x14ac:dyDescent="0.35">
      <c r="A23" s="1">
        <v>42278</v>
      </c>
      <c r="B23" s="2">
        <v>31404.923500000001</v>
      </c>
    </row>
    <row r="24" spans="1:2" x14ac:dyDescent="0.35">
      <c r="A24" s="1">
        <v>42309</v>
      </c>
      <c r="B24" s="2">
        <v>75972.563500000004</v>
      </c>
    </row>
    <row r="25" spans="1:2" x14ac:dyDescent="0.35">
      <c r="A25" s="1">
        <v>42339</v>
      </c>
      <c r="B25" s="2">
        <v>74919.521200000003</v>
      </c>
    </row>
    <row r="26" spans="1:2" x14ac:dyDescent="0.35">
      <c r="A26" s="1">
        <v>42370</v>
      </c>
      <c r="B26" s="2">
        <v>18542.491000000002</v>
      </c>
    </row>
    <row r="27" spans="1:2" x14ac:dyDescent="0.35">
      <c r="A27" s="1">
        <v>42401</v>
      </c>
      <c r="B27" s="2">
        <v>22978.814999999999</v>
      </c>
    </row>
    <row r="28" spans="1:2" x14ac:dyDescent="0.35">
      <c r="A28" s="1">
        <v>42430</v>
      </c>
      <c r="B28" s="2">
        <v>51715.875</v>
      </c>
    </row>
    <row r="29" spans="1:2" x14ac:dyDescent="0.35">
      <c r="A29" s="1">
        <v>42461</v>
      </c>
      <c r="B29" s="2">
        <v>38750.038999999997</v>
      </c>
    </row>
    <row r="30" spans="1:2" x14ac:dyDescent="0.35">
      <c r="A30" s="1">
        <v>42491</v>
      </c>
      <c r="B30" s="2">
        <v>56987.728000000003</v>
      </c>
    </row>
    <row r="31" spans="1:2" x14ac:dyDescent="0.35">
      <c r="A31" s="1">
        <v>42522</v>
      </c>
      <c r="B31" s="2">
        <v>40344.534</v>
      </c>
    </row>
    <row r="32" spans="1:2" x14ac:dyDescent="0.35">
      <c r="A32" s="1">
        <v>42552</v>
      </c>
      <c r="B32" s="2">
        <v>39261.963000000003</v>
      </c>
    </row>
    <row r="33" spans="1:2" x14ac:dyDescent="0.35">
      <c r="A33" s="1">
        <v>42583</v>
      </c>
      <c r="B33" s="2">
        <v>31115.374299999999</v>
      </c>
    </row>
    <row r="34" spans="1:2" x14ac:dyDescent="0.35">
      <c r="A34" s="1">
        <v>42614</v>
      </c>
      <c r="B34" s="2">
        <v>73410.024900000004</v>
      </c>
    </row>
    <row r="35" spans="1:2" x14ac:dyDescent="0.35">
      <c r="A35" s="1">
        <v>42644</v>
      </c>
      <c r="B35" s="2">
        <v>59687.745000000003</v>
      </c>
    </row>
    <row r="36" spans="1:2" x14ac:dyDescent="0.35">
      <c r="A36" s="1">
        <v>42675</v>
      </c>
      <c r="B36" s="2">
        <v>79411.965800000005</v>
      </c>
    </row>
    <row r="37" spans="1:2" x14ac:dyDescent="0.35">
      <c r="A37" s="1">
        <v>42705</v>
      </c>
      <c r="B37" s="2">
        <v>96999.043000000005</v>
      </c>
    </row>
    <row r="38" spans="1:2" x14ac:dyDescent="0.35">
      <c r="A38" s="1">
        <v>42736</v>
      </c>
      <c r="B38" s="2">
        <v>43971.374000000003</v>
      </c>
    </row>
    <row r="39" spans="1:2" x14ac:dyDescent="0.35">
      <c r="A39" s="1">
        <v>42767</v>
      </c>
      <c r="B39" s="2">
        <v>20301.133399999999</v>
      </c>
    </row>
    <row r="40" spans="1:2" x14ac:dyDescent="0.35">
      <c r="A40" s="1">
        <v>42795</v>
      </c>
      <c r="B40" s="2">
        <v>58872.352800000001</v>
      </c>
    </row>
    <row r="41" spans="1:2" x14ac:dyDescent="0.35">
      <c r="A41" s="1">
        <v>42826</v>
      </c>
      <c r="B41" s="2">
        <v>36521.536099999998</v>
      </c>
    </row>
    <row r="42" spans="1:2" x14ac:dyDescent="0.35">
      <c r="A42" s="1">
        <v>42856</v>
      </c>
      <c r="B42" s="2">
        <v>44261.110200000003</v>
      </c>
    </row>
    <row r="43" spans="1:2" x14ac:dyDescent="0.35">
      <c r="A43" s="1">
        <v>42887</v>
      </c>
      <c r="B43" s="2">
        <v>52981.725700000003</v>
      </c>
    </row>
    <row r="44" spans="1:2" x14ac:dyDescent="0.35">
      <c r="A44" s="1">
        <v>42917</v>
      </c>
      <c r="B44" s="2">
        <v>45264.415999999997</v>
      </c>
    </row>
    <row r="45" spans="1:2" x14ac:dyDescent="0.35">
      <c r="A45" s="1">
        <v>42948</v>
      </c>
      <c r="B45" s="2">
        <v>63120.887999999999</v>
      </c>
    </row>
    <row r="46" spans="1:2" x14ac:dyDescent="0.35">
      <c r="A46" s="1">
        <v>42979</v>
      </c>
      <c r="B46" s="2">
        <v>87866.652000000002</v>
      </c>
    </row>
    <row r="47" spans="1:2" x14ac:dyDescent="0.35">
      <c r="A47" s="1">
        <v>43009</v>
      </c>
      <c r="B47" s="2">
        <v>77776.923200000005</v>
      </c>
    </row>
    <row r="48" spans="1:2" x14ac:dyDescent="0.35">
      <c r="A48" s="1">
        <v>43040</v>
      </c>
      <c r="B48" s="2">
        <v>118447.825</v>
      </c>
    </row>
    <row r="49" spans="1:2" x14ac:dyDescent="0.35">
      <c r="A49" s="1">
        <v>43070</v>
      </c>
      <c r="B49" s="2">
        <v>83829.318799999994</v>
      </c>
    </row>
  </sheetData>
  <pageMargins left="0.7" right="0.7" top="0.75" bottom="0.75" header="0.3" footer="0.3"/>
  <pageSetup paperSize="9" orientation="portrait" horizontalDpi="4294967292" verticalDpi="12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7D73-7693-4CEE-8A57-DE347F0D90AC}">
  <dimension ref="A1:B12"/>
  <sheetViews>
    <sheetView topLeftCell="A7" workbookViewId="0">
      <selection activeCell="B12" sqref="A2:B12"/>
    </sheetView>
  </sheetViews>
  <sheetFormatPr defaultRowHeight="14.5" x14ac:dyDescent="0.35"/>
  <cols>
    <col min="1" max="1" width="17.1796875" bestFit="1" customWidth="1"/>
    <col min="2" max="2" width="12.26953125" bestFit="1" customWidth="1"/>
  </cols>
  <sheetData>
    <row r="1" spans="1:2" x14ac:dyDescent="0.35">
      <c r="A1" t="s">
        <v>2</v>
      </c>
      <c r="B1" t="s">
        <v>3</v>
      </c>
    </row>
    <row r="2" spans="1:2" x14ac:dyDescent="0.35">
      <c r="A2" s="2">
        <v>0</v>
      </c>
      <c r="B2" s="2">
        <v>320987.60320000001</v>
      </c>
    </row>
    <row r="3" spans="1:2" x14ac:dyDescent="0.35">
      <c r="A3" s="2">
        <v>0.1</v>
      </c>
      <c r="B3" s="2">
        <v>9029.1769999999997</v>
      </c>
    </row>
    <row r="4" spans="1:2" x14ac:dyDescent="0.35">
      <c r="A4" s="2">
        <v>0.15</v>
      </c>
      <c r="B4" s="2">
        <v>1418.9915000000001</v>
      </c>
    </row>
    <row r="5" spans="1:2" x14ac:dyDescent="0.35">
      <c r="A5" s="2">
        <v>0.2</v>
      </c>
      <c r="B5" s="2">
        <v>90337.305999999997</v>
      </c>
    </row>
    <row r="6" spans="1:2" x14ac:dyDescent="0.35">
      <c r="A6" s="2">
        <v>0.3</v>
      </c>
      <c r="B6" s="2">
        <v>-12760.4151</v>
      </c>
    </row>
    <row r="7" spans="1:2" x14ac:dyDescent="0.35">
      <c r="A7" s="2">
        <v>0.4</v>
      </c>
      <c r="B7" s="2">
        <v>-23057.0504</v>
      </c>
    </row>
    <row r="8" spans="1:2" x14ac:dyDescent="0.35">
      <c r="A8" s="2">
        <v>0.45</v>
      </c>
      <c r="B8" s="2">
        <v>-2493.1111000000001</v>
      </c>
    </row>
    <row r="9" spans="1:2" x14ac:dyDescent="0.35">
      <c r="A9" s="2">
        <v>0.5</v>
      </c>
      <c r="B9" s="2">
        <v>-20506.428100000001</v>
      </c>
    </row>
    <row r="10" spans="1:2" x14ac:dyDescent="0.35">
      <c r="A10" s="2">
        <v>0.6</v>
      </c>
      <c r="B10" s="2">
        <v>-5944.6552000000001</v>
      </c>
    </row>
    <row r="11" spans="1:2" x14ac:dyDescent="0.35">
      <c r="A11" s="2">
        <v>0.7</v>
      </c>
      <c r="B11" s="2">
        <v>-40075.356899999999</v>
      </c>
    </row>
    <row r="12" spans="1:2" x14ac:dyDescent="0.35">
      <c r="A12" s="2">
        <v>0.8</v>
      </c>
      <c r="B12" s="2">
        <v>-30539.039199999999</v>
      </c>
    </row>
  </sheetData>
  <pageMargins left="0.7" right="0.7" top="0.75" bottom="0.75" header="0.3" footer="0.3"/>
  <pageSetup paperSize="9" orientation="portrait" horizontalDpi="4294967292" verticalDpi="120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A4A5-96B3-42D4-AD82-D3555BA12C0F}">
  <dimension ref="A1:B5"/>
  <sheetViews>
    <sheetView workbookViewId="0">
      <selection activeCell="B5" sqref="B2:B5"/>
    </sheetView>
  </sheetViews>
  <sheetFormatPr defaultRowHeight="14.5" x14ac:dyDescent="0.35"/>
  <cols>
    <col min="1" max="1" width="8.26953125" bestFit="1" customWidth="1"/>
    <col min="2" max="2" width="12.08984375" bestFit="1" customWidth="1"/>
  </cols>
  <sheetData>
    <row r="1" spans="1:2" x14ac:dyDescent="0.35">
      <c r="A1" t="s">
        <v>4</v>
      </c>
      <c r="B1" t="s">
        <v>1</v>
      </c>
    </row>
    <row r="2" spans="1:2" x14ac:dyDescent="0.35">
      <c r="A2" t="s">
        <v>8</v>
      </c>
      <c r="B2" s="2">
        <v>725457.82449999999</v>
      </c>
    </row>
    <row r="3" spans="1:2" x14ac:dyDescent="0.35">
      <c r="A3" t="s">
        <v>6</v>
      </c>
      <c r="B3" s="2">
        <v>678781.24</v>
      </c>
    </row>
    <row r="4" spans="1:2" x14ac:dyDescent="0.35">
      <c r="A4" t="s">
        <v>5</v>
      </c>
      <c r="B4" s="2">
        <v>501239.89079999999</v>
      </c>
    </row>
    <row r="5" spans="1:2" x14ac:dyDescent="0.35">
      <c r="A5" t="s">
        <v>7</v>
      </c>
      <c r="B5" s="2">
        <v>391721.90500000003</v>
      </c>
    </row>
  </sheetData>
  <pageMargins left="0.7" right="0.7" top="0.75" bottom="0.75" header="0.3" footer="0.3"/>
  <pageSetup paperSize="9" orientation="portrait" horizontalDpi="4294967292" verticalDpi="120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D45C-EB3C-443F-BB3E-A2CAC7FCA156}">
  <dimension ref="A1:B11"/>
  <sheetViews>
    <sheetView workbookViewId="0">
      <selection activeCell="O12" sqref="O12"/>
    </sheetView>
  </sheetViews>
  <sheetFormatPr defaultRowHeight="14.5" x14ac:dyDescent="0.35"/>
  <cols>
    <col min="1" max="1" width="65.1796875" bestFit="1" customWidth="1"/>
    <col min="2" max="2" width="12.08984375" bestFit="1" customWidth="1"/>
  </cols>
  <sheetData>
    <row r="1" spans="1:2" x14ac:dyDescent="0.35">
      <c r="A1" t="s">
        <v>9</v>
      </c>
      <c r="B1" t="s">
        <v>1</v>
      </c>
    </row>
    <row r="2" spans="1:2" x14ac:dyDescent="0.35">
      <c r="A2" t="s">
        <v>10</v>
      </c>
      <c r="B2" s="2">
        <v>61599.824000000001</v>
      </c>
    </row>
    <row r="3" spans="1:2" x14ac:dyDescent="0.35">
      <c r="A3" t="s">
        <v>11</v>
      </c>
      <c r="B3" s="2">
        <v>27453.383999999998</v>
      </c>
    </row>
    <row r="4" spans="1:2" x14ac:dyDescent="0.35">
      <c r="A4" t="s">
        <v>12</v>
      </c>
      <c r="B4" s="2">
        <v>22638.48</v>
      </c>
    </row>
    <row r="5" spans="1:2" x14ac:dyDescent="0.35">
      <c r="A5" t="s">
        <v>13</v>
      </c>
      <c r="B5" s="2">
        <v>21870.576000000001</v>
      </c>
    </row>
    <row r="6" spans="1:2" x14ac:dyDescent="0.35">
      <c r="A6" t="s">
        <v>14</v>
      </c>
      <c r="B6" s="2">
        <v>19823.478999999999</v>
      </c>
    </row>
    <row r="7" spans="1:2" x14ac:dyDescent="0.35">
      <c r="A7" t="s">
        <v>15</v>
      </c>
      <c r="B7" s="2">
        <v>19024.5</v>
      </c>
    </row>
    <row r="8" spans="1:2" x14ac:dyDescent="0.35">
      <c r="A8" t="s">
        <v>16</v>
      </c>
      <c r="B8" s="2">
        <v>18839.686000000002</v>
      </c>
    </row>
    <row r="9" spans="1:2" x14ac:dyDescent="0.35">
      <c r="A9" t="s">
        <v>17</v>
      </c>
      <c r="B9" s="2">
        <v>18374.895</v>
      </c>
    </row>
    <row r="10" spans="1:2" x14ac:dyDescent="0.35">
      <c r="A10" t="s">
        <v>18</v>
      </c>
      <c r="B10" s="2">
        <v>17965.067999999999</v>
      </c>
    </row>
    <row r="11" spans="1:2" x14ac:dyDescent="0.35">
      <c r="A11" t="s">
        <v>19</v>
      </c>
      <c r="B11" s="2">
        <v>17030.312000000002</v>
      </c>
    </row>
  </sheetData>
  <pageMargins left="0.7" right="0.7" top="0.75" bottom="0.75" header="0.3" footer="0.3"/>
  <pageSetup paperSize="9" orientation="portrait" horizontalDpi="4294967292" verticalDpi="120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62E8-41BE-454A-8450-1388354E8398}">
  <dimension ref="A1:D4"/>
  <sheetViews>
    <sheetView topLeftCell="A16" workbookViewId="0">
      <selection activeCell="H19" sqref="B19:H40"/>
    </sheetView>
  </sheetViews>
  <sheetFormatPr defaultRowHeight="14.5" x14ac:dyDescent="0.35"/>
  <cols>
    <col min="1" max="1" width="13" bestFit="1" customWidth="1"/>
    <col min="2" max="2" width="12.08984375" bestFit="1" customWidth="1"/>
    <col min="3" max="3" width="12.26953125" bestFit="1" customWidth="1"/>
    <col min="4" max="4" width="21.7265625" bestFit="1" customWidth="1"/>
  </cols>
  <sheetData>
    <row r="1" spans="1:4" x14ac:dyDescent="0.35">
      <c r="A1" t="s">
        <v>20</v>
      </c>
      <c r="B1" t="s">
        <v>1</v>
      </c>
      <c r="C1" t="s">
        <v>3</v>
      </c>
      <c r="D1" t="s">
        <v>21</v>
      </c>
    </row>
    <row r="2" spans="1:4" x14ac:dyDescent="0.35">
      <c r="A2" t="s">
        <v>22</v>
      </c>
      <c r="B2" s="2">
        <v>836154.03300000005</v>
      </c>
      <c r="C2" s="2">
        <v>145454.94810000001</v>
      </c>
      <c r="D2" s="2">
        <v>17.399999999999999</v>
      </c>
    </row>
    <row r="3" spans="1:4" x14ac:dyDescent="0.35">
      <c r="A3" t="s">
        <v>23</v>
      </c>
      <c r="B3" s="2">
        <v>719047.03200000001</v>
      </c>
      <c r="C3" s="2">
        <v>122490.8008</v>
      </c>
      <c r="D3" s="2">
        <v>17.04</v>
      </c>
    </row>
    <row r="4" spans="1:4" x14ac:dyDescent="0.35">
      <c r="A4" t="s">
        <v>24</v>
      </c>
      <c r="B4" s="2">
        <v>741999.7953</v>
      </c>
      <c r="C4" s="2">
        <v>18451.272799999999</v>
      </c>
      <c r="D4" s="2">
        <v>2.4900000000000002</v>
      </c>
    </row>
  </sheetData>
  <pageMargins left="0.7" right="0.7" top="0.75" bottom="0.75" header="0.3" footer="0.3"/>
  <pageSetup paperSize="9" orientation="portrait" horizontalDpi="4294967292" verticalDpi="1200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195C-11C6-472A-A73B-62E56829E930}">
  <dimension ref="A1:D4"/>
  <sheetViews>
    <sheetView workbookViewId="0">
      <selection activeCell="B2" sqref="B2:D4"/>
    </sheetView>
  </sheetViews>
  <sheetFormatPr defaultRowHeight="14.5" x14ac:dyDescent="0.35"/>
  <cols>
    <col min="1" max="1" width="10.90625" bestFit="1" customWidth="1"/>
    <col min="2" max="2" width="13" bestFit="1" customWidth="1"/>
    <col min="3" max="3" width="12.08984375" bestFit="1" customWidth="1"/>
    <col min="4" max="4" width="16.54296875" bestFit="1" customWidth="1"/>
  </cols>
  <sheetData>
    <row r="1" spans="1:4" x14ac:dyDescent="0.35">
      <c r="A1" t="s">
        <v>25</v>
      </c>
      <c r="B1" t="s">
        <v>26</v>
      </c>
      <c r="C1" t="s">
        <v>1</v>
      </c>
      <c r="D1" t="s">
        <v>27</v>
      </c>
    </row>
    <row r="2" spans="1:4" x14ac:dyDescent="0.35">
      <c r="A2" t="s">
        <v>28</v>
      </c>
      <c r="B2" s="2">
        <v>909</v>
      </c>
      <c r="C2" s="2">
        <v>429653.14850000001</v>
      </c>
      <c r="D2" s="2">
        <v>472.67</v>
      </c>
    </row>
    <row r="3" spans="1:4" x14ac:dyDescent="0.35">
      <c r="A3" t="s">
        <v>29</v>
      </c>
      <c r="B3" s="2">
        <v>1514</v>
      </c>
      <c r="C3" s="2">
        <v>706146.36679999996</v>
      </c>
      <c r="D3" s="2">
        <v>466.41</v>
      </c>
    </row>
    <row r="4" spans="1:4" x14ac:dyDescent="0.35">
      <c r="A4" t="s">
        <v>30</v>
      </c>
      <c r="B4" s="2">
        <v>2586</v>
      </c>
      <c r="C4" s="2">
        <v>1161401.345</v>
      </c>
      <c r="D4" s="2">
        <v>449.11</v>
      </c>
    </row>
  </sheetData>
  <pageMargins left="0.7" right="0.7" top="0.75" bottom="0.75" header="0.3" footer="0.3"/>
  <pageSetup paperSize="9" orientation="portrait" horizontalDpi="4294967292" verticalDpi="120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FE0D-51D4-467E-BB88-FCA4326B089C}">
  <dimension ref="A1:E5"/>
  <sheetViews>
    <sheetView topLeftCell="A4" workbookViewId="0">
      <selection activeCell="A2" sqref="A2:C5"/>
    </sheetView>
  </sheetViews>
  <sheetFormatPr defaultRowHeight="14.5" x14ac:dyDescent="0.35"/>
  <cols>
    <col min="1" max="1" width="13.08984375" bestFit="1" customWidth="1"/>
    <col min="2" max="2" width="13" bestFit="1" customWidth="1"/>
    <col min="3" max="3" width="18.81640625" bestFit="1" customWidth="1"/>
    <col min="4" max="4" width="19.36328125" bestFit="1" customWidth="1"/>
    <col min="5" max="5" width="19.6328125" bestFit="1" customWidth="1"/>
  </cols>
  <sheetData>
    <row r="1" spans="1:5" x14ac:dyDescent="0.35">
      <c r="A1" t="s">
        <v>31</v>
      </c>
      <c r="B1" t="s">
        <v>26</v>
      </c>
      <c r="C1" t="s">
        <v>32</v>
      </c>
      <c r="D1" t="s">
        <v>33</v>
      </c>
      <c r="E1" t="s">
        <v>34</v>
      </c>
    </row>
    <row r="2" spans="1:5" x14ac:dyDescent="0.35">
      <c r="A2" t="s">
        <v>35</v>
      </c>
      <c r="B2" s="2">
        <v>543</v>
      </c>
      <c r="C2" s="2">
        <v>0.04</v>
      </c>
      <c r="D2" s="2">
        <v>0</v>
      </c>
      <c r="E2" s="2">
        <v>1</v>
      </c>
    </row>
    <row r="3" spans="1:5" x14ac:dyDescent="0.35">
      <c r="A3" t="s">
        <v>36</v>
      </c>
      <c r="B3" s="2">
        <v>1538</v>
      </c>
      <c r="C3" s="2">
        <v>2.1800000000000002</v>
      </c>
      <c r="D3" s="2">
        <v>1</v>
      </c>
      <c r="E3" s="2">
        <v>4</v>
      </c>
    </row>
    <row r="4" spans="1:5" x14ac:dyDescent="0.35">
      <c r="A4" t="s">
        <v>37</v>
      </c>
      <c r="B4" s="2">
        <v>1945</v>
      </c>
      <c r="C4" s="2">
        <v>3.24</v>
      </c>
      <c r="D4" s="2">
        <v>1</v>
      </c>
      <c r="E4" s="2">
        <v>5</v>
      </c>
    </row>
    <row r="5" spans="1:5" x14ac:dyDescent="0.35">
      <c r="A5" t="s">
        <v>38</v>
      </c>
      <c r="B5" s="2">
        <v>5968</v>
      </c>
      <c r="C5" s="2">
        <v>5.01</v>
      </c>
      <c r="D5" s="2">
        <v>3</v>
      </c>
      <c r="E5" s="2">
        <v>7</v>
      </c>
    </row>
  </sheetData>
  <pageMargins left="0.7" right="0.7" top="0.75" bottom="0.75" header="0.3" footer="0.3"/>
  <pageSetup paperSize="9" orientation="portrait" horizontalDpi="4294967292" verticalDpi="12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B96707-B088-4DF3-93A2-7A7E736C33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1_monthly_sales</vt:lpstr>
      <vt:lpstr>2_discount_profit</vt:lpstr>
      <vt:lpstr>3_regional_sales</vt:lpstr>
      <vt:lpstr>4_top_products</vt:lpstr>
      <vt:lpstr>5_profit_margin</vt:lpstr>
      <vt:lpstr>6_avg_order_value</vt:lpstr>
      <vt:lpstr>7_shipping_efficiency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Atiqah Latib</dc:creator>
  <cp:lastModifiedBy>Atiqah Latib</cp:lastModifiedBy>
  <cp:lastPrinted>2026-04-15T06:33:17Z</cp:lastPrinted>
  <dcterms:created xsi:type="dcterms:W3CDTF">2026-03-13T07:12:33Z</dcterms:created>
  <dcterms:modified xsi:type="dcterms:W3CDTF">2026-04-15T07:47:48Z</dcterms:modified>
</cp:coreProperties>
</file>